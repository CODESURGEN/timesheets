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ime Sheet_Feb_1" sheetId="1" r:id="rId4"/>
    <sheet state="visible" name="Weekly Time Sheet_Feb_2" sheetId="2" r:id="rId5"/>
    <sheet state="visible" name="Weekly Time Sheet_Feb_3" sheetId="3" r:id="rId6"/>
    <sheet state="visible" name="Weekly Time Sheet_Feb_4" sheetId="4" r:id="rId7"/>
    <sheet state="visible" name="Weekly Time Sheet_Feb_5" sheetId="5" r:id="rId8"/>
  </sheets>
  <definedNames/>
  <calcPr/>
  <extLst>
    <ext uri="GoogleSheetsCustomDataVersion2">
      <go:sheetsCustomData xmlns:go="http://customooxmlschemas.google.com/" r:id="rId9" roundtripDataChecksum="rziFH+PpL5KM6gs4z6wBl0geLNPDAFF860W5grQuCsg="/>
    </ext>
  </extLst>
</workbook>
</file>

<file path=xl/sharedStrings.xml><?xml version="1.0" encoding="utf-8"?>
<sst xmlns="http://schemas.openxmlformats.org/spreadsheetml/2006/main" count="140" uniqueCount="31">
  <si>
    <t>Weekly Timesheet</t>
  </si>
  <si>
    <t>700 Nicholas Blvd, STE 105, Elk Grove Village, IL 6007</t>
  </si>
  <si>
    <t>Employee Name:</t>
  </si>
  <si>
    <t>Repala Manideep</t>
  </si>
  <si>
    <t>Manager's Name:</t>
  </si>
  <si>
    <t>Murali Rudra Raju</t>
  </si>
  <si>
    <t>Client:</t>
  </si>
  <si>
    <t>Omnicell Inc</t>
  </si>
  <si>
    <t>Week ending:</t>
  </si>
  <si>
    <t>Day</t>
  </si>
  <si>
    <t>Regular Hours</t>
  </si>
  <si>
    <t>Over Time</t>
  </si>
  <si>
    <t>Total</t>
  </si>
  <si>
    <t>Monday</t>
  </si>
  <si>
    <t>Tuesday</t>
  </si>
  <si>
    <t>Wednesday</t>
  </si>
  <si>
    <t>Thursday</t>
  </si>
  <si>
    <t>Friday</t>
  </si>
  <si>
    <t>Saturday</t>
  </si>
  <si>
    <t>Sunday</t>
  </si>
  <si>
    <t>Total hours</t>
  </si>
  <si>
    <t>Date: 2/8/2026</t>
  </si>
  <si>
    <t>------------------------------------</t>
  </si>
  <si>
    <t>Employee Signature</t>
  </si>
  <si>
    <t>Date:</t>
  </si>
  <si>
    <t>----------------------------------</t>
  </si>
  <si>
    <t>Manager's Signature</t>
  </si>
  <si>
    <t>Date: 2/15/2026</t>
  </si>
  <si>
    <t>Date: 2/22/2026</t>
  </si>
  <si>
    <t>Date: 3/1/2026</t>
  </si>
  <si>
    <t>Date: 2/1/2026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</si>
</sst>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  <scheme val="minor"/>
    </font>
    <font>
      <sz val="10.0"/>
      <color theme="1"/>
      <name val="Century Gothic"/>
    </font>
    <font>
      <sz val="10.0"/>
      <color theme="1"/>
      <name val="Arial"/>
    </font>
    <font>
      <sz val="16.0"/>
      <color rgb="FF315D71"/>
      <name val="Century Gothic"/>
    </font>
    <font/>
    <font>
      <sz val="28.0"/>
      <color theme="1"/>
      <name val="Century Gothic"/>
    </font>
    <font>
      <sz val="10.0"/>
      <color rgb="FF333333"/>
      <name val="Century Gothic"/>
    </font>
    <font>
      <sz val="16.0"/>
      <color rgb="FF333333"/>
      <name val="Arial"/>
    </font>
    <font>
      <sz val="10.0"/>
      <color rgb="FF333333"/>
      <name val="Arial"/>
    </font>
    <font>
      <sz val="9.0"/>
      <color rgb="FF333333"/>
      <name val="Century Gothic"/>
    </font>
    <font>
      <sz val="9.0"/>
      <color theme="1"/>
      <name val="Century Gothic"/>
    </font>
    <font>
      <b/>
      <sz val="9.0"/>
      <color theme="1"/>
      <name val="Century Gothic"/>
    </font>
    <font>
      <b/>
      <sz val="8.0"/>
      <color rgb="FFFF0000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CFCF"/>
        <bgColor rgb="FFCFCFCF"/>
      </patternFill>
    </fill>
    <fill>
      <patternFill patternType="solid">
        <fgColor rgb="FFEAEAEA"/>
        <bgColor rgb="FFEAEAEA"/>
      </patternFill>
    </fill>
    <fill>
      <patternFill patternType="solid">
        <fgColor rgb="FFF1F6F9"/>
        <bgColor rgb="FFF1F6F9"/>
      </patternFill>
    </fill>
    <fill>
      <patternFill patternType="solid">
        <fgColor rgb="FFFCFAF2"/>
        <bgColor rgb="FFFCFAF2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right" shrinkToFit="0" vertical="bottom" wrapText="0"/>
    </xf>
    <xf borderId="1" fillId="2" fontId="6" numFmtId="49" xfId="0" applyAlignment="1" applyBorder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5" fillId="0" fontId="9" numFmtId="14" xfId="0" applyAlignment="1" applyBorder="1" applyFont="1" applyNumberFormat="1">
      <alignment readingOrder="0" shrinkToFit="0" vertical="bottom" wrapText="0"/>
    </xf>
    <xf borderId="0" fillId="0" fontId="9" numFmtId="1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6" fillId="3" fontId="11" numFmtId="0" xfId="0" applyAlignment="1" applyBorder="1" applyFill="1" applyFont="1">
      <alignment horizontal="left" shrinkToFit="0" vertical="center" wrapText="0"/>
    </xf>
    <xf borderId="7" fillId="0" fontId="4" numFmtId="0" xfId="0" applyBorder="1" applyFont="1"/>
    <xf borderId="8" fillId="0" fontId="4" numFmtId="0" xfId="0" applyBorder="1" applyFont="1"/>
    <xf borderId="9" fillId="3" fontId="12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horizontal="center" shrinkToFit="0" vertical="center" wrapText="0"/>
    </xf>
    <xf borderId="9" fillId="3" fontId="11" numFmtId="0" xfId="0" applyAlignment="1" applyBorder="1" applyFont="1">
      <alignment horizontal="left" shrinkToFit="0" vertical="center" wrapText="0"/>
    </xf>
    <xf borderId="6" fillId="4" fontId="10" numFmtId="14" xfId="0" applyAlignment="1" applyBorder="1" applyFill="1" applyFont="1" applyNumberFormat="1">
      <alignment horizontal="center" shrinkToFit="0" vertical="center" wrapText="0"/>
    </xf>
    <xf borderId="11" fillId="5" fontId="10" numFmtId="2" xfId="0" applyAlignment="1" applyBorder="1" applyFill="1" applyFont="1" applyNumberFormat="1">
      <alignment horizontal="center" readingOrder="0" shrinkToFit="0" vertical="center" wrapText="0"/>
    </xf>
    <xf borderId="11" fillId="6" fontId="10" numFmtId="2" xfId="0" applyAlignment="1" applyBorder="1" applyFill="1" applyFont="1" applyNumberFormat="1">
      <alignment horizontal="center" shrinkToFit="0" vertical="center" wrapText="0"/>
    </xf>
    <xf borderId="11" fillId="4" fontId="10" numFmtId="2" xfId="0" applyAlignment="1" applyBorder="1" applyFont="1" applyNumberFormat="1">
      <alignment horizontal="center" shrinkToFit="0" vertical="center" wrapText="0"/>
    </xf>
    <xf borderId="11" fillId="5" fontId="10" numFmtId="2" xfId="0" applyAlignment="1" applyBorder="1" applyFont="1" applyNumberFormat="1">
      <alignment horizontal="center" shrinkToFit="0" vertical="center" wrapText="0"/>
    </xf>
    <xf borderId="11" fillId="3" fontId="1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readingOrder="0" shrinkToFit="0" vertical="bottom" wrapText="0"/>
    </xf>
    <xf borderId="5" fillId="0" fontId="9" numFmtId="16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193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193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193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193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193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25F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75"/>
    <col customWidth="1" min="3" max="3" width="4.63"/>
    <col customWidth="1" min="4" max="4" width="15.13"/>
    <col customWidth="1" min="5" max="7" width="14.63"/>
    <col customWidth="1" min="8" max="26" width="8.0"/>
  </cols>
  <sheetData>
    <row r="1" ht="36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 t="s">
        <v>0</v>
      </c>
      <c r="C2" s="4"/>
      <c r="D2" s="4"/>
      <c r="E2" s="4"/>
      <c r="F2" s="5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7" t="s">
        <v>1</v>
      </c>
      <c r="C3" s="4"/>
      <c r="D3" s="4"/>
      <c r="E3" s="5"/>
      <c r="F3" s="8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9" t="s">
        <v>2</v>
      </c>
      <c r="C4" s="5"/>
      <c r="D4" s="10" t="s">
        <v>3</v>
      </c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1" t="s">
        <v>4</v>
      </c>
      <c r="D5" s="10" t="s">
        <v>5</v>
      </c>
      <c r="F5" s="10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6</v>
      </c>
      <c r="D6" s="11" t="s">
        <v>7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2" t="s">
        <v>8</v>
      </c>
      <c r="C7" s="12"/>
      <c r="D7" s="13">
        <v>46061.0</v>
      </c>
      <c r="E7" s="14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5"/>
      <c r="B9" s="16" t="s">
        <v>9</v>
      </c>
      <c r="C9" s="17"/>
      <c r="D9" s="18"/>
      <c r="E9" s="19" t="s">
        <v>10</v>
      </c>
      <c r="F9" s="19" t="s">
        <v>11</v>
      </c>
      <c r="G9" s="20" t="s">
        <v>12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3.25" customHeight="1">
      <c r="A10" s="15"/>
      <c r="B10" s="21" t="s">
        <v>13</v>
      </c>
      <c r="C10" s="22">
        <f>IF($D$7=0,"",$D$7-6)</f>
        <v>46055</v>
      </c>
      <c r="D10" s="18"/>
      <c r="E10" s="23">
        <v>8.0</v>
      </c>
      <c r="F10" s="24"/>
      <c r="G10" s="25">
        <f t="shared" ref="G10:G17" si="1">SUM(E10:F10)</f>
        <v>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3.25" customHeight="1">
      <c r="A11" s="15"/>
      <c r="B11" s="21" t="s">
        <v>14</v>
      </c>
      <c r="C11" s="22">
        <f>IF($D$7=0,"",$D$7-5)</f>
        <v>46056</v>
      </c>
      <c r="D11" s="18"/>
      <c r="E11" s="23">
        <v>8.0</v>
      </c>
      <c r="F11" s="24"/>
      <c r="G11" s="25">
        <f t="shared" si="1"/>
        <v>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3.25" customHeight="1">
      <c r="A12" s="15"/>
      <c r="B12" s="21" t="s">
        <v>15</v>
      </c>
      <c r="C12" s="22">
        <f>IF($D$7=0,"",$D$7-4)</f>
        <v>46057</v>
      </c>
      <c r="D12" s="18"/>
      <c r="E12" s="23">
        <v>8.0</v>
      </c>
      <c r="F12" s="24"/>
      <c r="G12" s="25">
        <f t="shared" si="1"/>
        <v>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3.25" customHeight="1">
      <c r="A13" s="15"/>
      <c r="B13" s="21" t="s">
        <v>16</v>
      </c>
      <c r="C13" s="22">
        <f>IF($D$7=0,"",$D$7-3)</f>
        <v>46058</v>
      </c>
      <c r="D13" s="18"/>
      <c r="E13" s="23">
        <v>8.0</v>
      </c>
      <c r="F13" s="24"/>
      <c r="G13" s="25">
        <f t="shared" si="1"/>
        <v>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3.25" customHeight="1">
      <c r="A14" s="15"/>
      <c r="B14" s="21" t="s">
        <v>17</v>
      </c>
      <c r="C14" s="22">
        <f>IF($D$7=0,"",$D$7-2)</f>
        <v>46059</v>
      </c>
      <c r="D14" s="18"/>
      <c r="E14" s="23">
        <v>8.0</v>
      </c>
      <c r="F14" s="24"/>
      <c r="G14" s="25">
        <f t="shared" si="1"/>
        <v>8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3.25" customHeight="1">
      <c r="A15" s="15"/>
      <c r="B15" s="21" t="s">
        <v>18</v>
      </c>
      <c r="C15" s="22">
        <f>IF($D$7=0,"",$D$7-1)</f>
        <v>46060</v>
      </c>
      <c r="D15" s="18"/>
      <c r="E15" s="26"/>
      <c r="F15" s="24"/>
      <c r="G15" s="25">
        <f t="shared" si="1"/>
        <v>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3.25" customHeight="1">
      <c r="A16" s="15"/>
      <c r="B16" s="21" t="s">
        <v>19</v>
      </c>
      <c r="C16" s="22">
        <f>IF($D$7=0,"",$D$7)</f>
        <v>46061</v>
      </c>
      <c r="D16" s="18"/>
      <c r="E16" s="26"/>
      <c r="F16" s="24"/>
      <c r="G16" s="25">
        <f t="shared" si="1"/>
        <v>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3.25" customHeight="1">
      <c r="A17" s="15"/>
      <c r="B17" s="15"/>
      <c r="C17" s="15"/>
      <c r="D17" s="27" t="s">
        <v>20</v>
      </c>
      <c r="E17" s="25">
        <f t="shared" ref="E17:F17" si="2">SUM(E10:E16)</f>
        <v>40</v>
      </c>
      <c r="F17" s="25">
        <f t="shared" si="2"/>
        <v>0</v>
      </c>
      <c r="G17" s="25">
        <f t="shared" si="1"/>
        <v>40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 t="s">
        <v>3</v>
      </c>
      <c r="C21" s="1"/>
      <c r="D21" s="1"/>
      <c r="E21" s="1"/>
      <c r="F21" s="28" t="s">
        <v>21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 t="s">
        <v>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F2"/>
    <mergeCell ref="B3:E3"/>
    <mergeCell ref="B4:C4"/>
    <mergeCell ref="D4:F4"/>
    <mergeCell ref="B5:C5"/>
    <mergeCell ref="D5:E5"/>
    <mergeCell ref="D6:E6"/>
    <mergeCell ref="C15:D15"/>
    <mergeCell ref="C16:D16"/>
    <mergeCell ref="B6:C6"/>
    <mergeCell ref="B9:D9"/>
    <mergeCell ref="C10:D10"/>
    <mergeCell ref="C11:D11"/>
    <mergeCell ref="C12:D12"/>
    <mergeCell ref="C13:D13"/>
    <mergeCell ref="C14:D1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25F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75"/>
    <col customWidth="1" min="3" max="3" width="4.63"/>
    <col customWidth="1" min="4" max="4" width="15.13"/>
    <col customWidth="1" min="5" max="7" width="14.63"/>
    <col customWidth="1" min="8" max="26" width="8.0"/>
  </cols>
  <sheetData>
    <row r="1" ht="36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 t="s">
        <v>0</v>
      </c>
      <c r="C2" s="4"/>
      <c r="D2" s="4"/>
      <c r="E2" s="4"/>
      <c r="F2" s="5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7" t="s">
        <v>1</v>
      </c>
      <c r="C3" s="4"/>
      <c r="D3" s="4"/>
      <c r="E3" s="5"/>
      <c r="F3" s="8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9" t="s">
        <v>2</v>
      </c>
      <c r="C4" s="5"/>
      <c r="D4" s="10" t="s">
        <v>3</v>
      </c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1" t="s">
        <v>4</v>
      </c>
      <c r="D5" s="10" t="s">
        <v>5</v>
      </c>
      <c r="F5" s="10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6</v>
      </c>
      <c r="D6" s="11" t="s">
        <v>7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2" t="s">
        <v>8</v>
      </c>
      <c r="C7" s="12"/>
      <c r="D7" s="13">
        <v>46068.0</v>
      </c>
      <c r="E7" s="14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5"/>
      <c r="B9" s="16" t="s">
        <v>9</v>
      </c>
      <c r="C9" s="17"/>
      <c r="D9" s="18"/>
      <c r="E9" s="19" t="s">
        <v>10</v>
      </c>
      <c r="F9" s="19" t="s">
        <v>11</v>
      </c>
      <c r="G9" s="20" t="s">
        <v>12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3.25" customHeight="1">
      <c r="A10" s="15"/>
      <c r="B10" s="21" t="s">
        <v>13</v>
      </c>
      <c r="C10" s="22">
        <f>IF($D$7=0,"",$D$7-6)</f>
        <v>46062</v>
      </c>
      <c r="D10" s="18"/>
      <c r="E10" s="23">
        <v>8.0</v>
      </c>
      <c r="F10" s="24"/>
      <c r="G10" s="25">
        <f t="shared" ref="G10:G17" si="1">SUM(E10:F10)</f>
        <v>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3.25" customHeight="1">
      <c r="A11" s="15"/>
      <c r="B11" s="21" t="s">
        <v>14</v>
      </c>
      <c r="C11" s="22">
        <f>IF($D$7=0,"",$D$7-5)</f>
        <v>46063</v>
      </c>
      <c r="D11" s="18"/>
      <c r="E11" s="23">
        <v>8.0</v>
      </c>
      <c r="F11" s="24"/>
      <c r="G11" s="25">
        <f t="shared" si="1"/>
        <v>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3.25" customHeight="1">
      <c r="A12" s="15"/>
      <c r="B12" s="21" t="s">
        <v>15</v>
      </c>
      <c r="C12" s="22">
        <f>IF($D$7=0,"",$D$7-4)</f>
        <v>46064</v>
      </c>
      <c r="D12" s="18"/>
      <c r="E12" s="23">
        <v>8.0</v>
      </c>
      <c r="F12" s="24"/>
      <c r="G12" s="25">
        <f t="shared" si="1"/>
        <v>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3.25" customHeight="1">
      <c r="A13" s="15"/>
      <c r="B13" s="21" t="s">
        <v>16</v>
      </c>
      <c r="C13" s="22">
        <f>IF($D$7=0,"",$D$7-3)</f>
        <v>46065</v>
      </c>
      <c r="D13" s="18"/>
      <c r="E13" s="23">
        <v>8.0</v>
      </c>
      <c r="F13" s="24"/>
      <c r="G13" s="25">
        <f t="shared" si="1"/>
        <v>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3.25" customHeight="1">
      <c r="A14" s="15"/>
      <c r="B14" s="21" t="s">
        <v>17</v>
      </c>
      <c r="C14" s="22">
        <f>IF($D$7=0,"",$D$7-2)</f>
        <v>46066</v>
      </c>
      <c r="D14" s="18"/>
      <c r="E14" s="23">
        <v>8.0</v>
      </c>
      <c r="F14" s="24"/>
      <c r="G14" s="25">
        <f t="shared" si="1"/>
        <v>8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3.25" customHeight="1">
      <c r="A15" s="15"/>
      <c r="B15" s="21" t="s">
        <v>18</v>
      </c>
      <c r="C15" s="22">
        <f>IF($D$7=0,"",$D$7-1)</f>
        <v>46067</v>
      </c>
      <c r="D15" s="18"/>
      <c r="E15" s="26"/>
      <c r="F15" s="24"/>
      <c r="G15" s="25">
        <f t="shared" si="1"/>
        <v>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3.25" customHeight="1">
      <c r="A16" s="15"/>
      <c r="B16" s="21" t="s">
        <v>19</v>
      </c>
      <c r="C16" s="22">
        <f>IF($D$7=0,"",$D$7)</f>
        <v>46068</v>
      </c>
      <c r="D16" s="18"/>
      <c r="E16" s="26"/>
      <c r="F16" s="24"/>
      <c r="G16" s="25">
        <f t="shared" si="1"/>
        <v>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3.25" customHeight="1">
      <c r="A17" s="15"/>
      <c r="B17" s="15"/>
      <c r="C17" s="15"/>
      <c r="D17" s="27" t="s">
        <v>20</v>
      </c>
      <c r="E17" s="25">
        <f t="shared" ref="E17:F17" si="2">SUM(E10:E16)</f>
        <v>40</v>
      </c>
      <c r="F17" s="25">
        <f t="shared" si="2"/>
        <v>0</v>
      </c>
      <c r="G17" s="25">
        <f t="shared" si="1"/>
        <v>40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 t="s">
        <v>3</v>
      </c>
      <c r="C21" s="1"/>
      <c r="D21" s="1"/>
      <c r="E21" s="1"/>
      <c r="F21" s="28" t="s">
        <v>27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 t="s">
        <v>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F2"/>
    <mergeCell ref="B3:E3"/>
    <mergeCell ref="B4:C4"/>
    <mergeCell ref="D4:F4"/>
    <mergeCell ref="B5:C5"/>
    <mergeCell ref="D5:E5"/>
    <mergeCell ref="D6:E6"/>
    <mergeCell ref="C15:D15"/>
    <mergeCell ref="C16:D16"/>
    <mergeCell ref="B6:C6"/>
    <mergeCell ref="B9:D9"/>
    <mergeCell ref="C10:D10"/>
    <mergeCell ref="C11:D11"/>
    <mergeCell ref="C12:D12"/>
    <mergeCell ref="C13:D13"/>
    <mergeCell ref="C14:D1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25F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75"/>
    <col customWidth="1" min="3" max="3" width="4.63"/>
    <col customWidth="1" min="4" max="4" width="15.13"/>
    <col customWidth="1" min="5" max="7" width="14.63"/>
    <col customWidth="1" min="8" max="26" width="8.0"/>
  </cols>
  <sheetData>
    <row r="1" ht="36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 t="s">
        <v>0</v>
      </c>
      <c r="C2" s="4"/>
      <c r="D2" s="4"/>
      <c r="E2" s="4"/>
      <c r="F2" s="5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7" t="s">
        <v>1</v>
      </c>
      <c r="C3" s="4"/>
      <c r="D3" s="4"/>
      <c r="E3" s="5"/>
      <c r="F3" s="8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9" t="s">
        <v>2</v>
      </c>
      <c r="C4" s="5"/>
      <c r="D4" s="10" t="s">
        <v>3</v>
      </c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1" t="s">
        <v>4</v>
      </c>
      <c r="D5" s="10" t="s">
        <v>5</v>
      </c>
      <c r="F5" s="10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6</v>
      </c>
      <c r="D6" s="11" t="s">
        <v>7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2" t="s">
        <v>8</v>
      </c>
      <c r="C7" s="12"/>
      <c r="D7" s="29">
        <v>46075.0</v>
      </c>
      <c r="E7" s="14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5"/>
      <c r="B9" s="16" t="s">
        <v>9</v>
      </c>
      <c r="C9" s="17"/>
      <c r="D9" s="18"/>
      <c r="E9" s="19" t="s">
        <v>10</v>
      </c>
      <c r="F9" s="19" t="s">
        <v>11</v>
      </c>
      <c r="G9" s="20" t="s">
        <v>12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3.25" customHeight="1">
      <c r="A10" s="15"/>
      <c r="B10" s="21" t="s">
        <v>13</v>
      </c>
      <c r="C10" s="22">
        <f>IF($D$7=0,"",$D$7-6)</f>
        <v>46069</v>
      </c>
      <c r="D10" s="18"/>
      <c r="E10" s="23">
        <v>8.0</v>
      </c>
      <c r="F10" s="24"/>
      <c r="G10" s="25">
        <f t="shared" ref="G10:G17" si="1">SUM(E10:F10)</f>
        <v>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3.25" customHeight="1">
      <c r="A11" s="15"/>
      <c r="B11" s="21" t="s">
        <v>14</v>
      </c>
      <c r="C11" s="22">
        <f>IF($D$7=0,"",$D$7-5)</f>
        <v>46070</v>
      </c>
      <c r="D11" s="18"/>
      <c r="E11" s="23">
        <v>8.0</v>
      </c>
      <c r="F11" s="24"/>
      <c r="G11" s="25">
        <f t="shared" si="1"/>
        <v>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3.25" customHeight="1">
      <c r="A12" s="15"/>
      <c r="B12" s="21" t="s">
        <v>15</v>
      </c>
      <c r="C12" s="22">
        <f>IF($D$7=0,"",$D$7-4)</f>
        <v>46071</v>
      </c>
      <c r="D12" s="18"/>
      <c r="E12" s="23">
        <v>8.0</v>
      </c>
      <c r="F12" s="24"/>
      <c r="G12" s="25">
        <f t="shared" si="1"/>
        <v>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3.25" customHeight="1">
      <c r="A13" s="15"/>
      <c r="B13" s="21" t="s">
        <v>16</v>
      </c>
      <c r="C13" s="22">
        <f>IF($D$7=0,"",$D$7-3)</f>
        <v>46072</v>
      </c>
      <c r="D13" s="18"/>
      <c r="E13" s="23">
        <v>8.0</v>
      </c>
      <c r="F13" s="24"/>
      <c r="G13" s="25">
        <f t="shared" si="1"/>
        <v>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3.25" customHeight="1">
      <c r="A14" s="15"/>
      <c r="B14" s="21" t="s">
        <v>17</v>
      </c>
      <c r="C14" s="22">
        <f>IF($D$7=0,"",$D$7-2)</f>
        <v>46073</v>
      </c>
      <c r="D14" s="18"/>
      <c r="E14" s="23">
        <v>8.0</v>
      </c>
      <c r="F14" s="24"/>
      <c r="G14" s="25">
        <f t="shared" si="1"/>
        <v>8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3.25" customHeight="1">
      <c r="A15" s="15"/>
      <c r="B15" s="21" t="s">
        <v>18</v>
      </c>
      <c r="C15" s="22">
        <f>IF($D$7=0,"",$D$7-1)</f>
        <v>46074</v>
      </c>
      <c r="D15" s="18"/>
      <c r="E15" s="26"/>
      <c r="F15" s="24"/>
      <c r="G15" s="25">
        <f t="shared" si="1"/>
        <v>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3.25" customHeight="1">
      <c r="A16" s="15"/>
      <c r="B16" s="21" t="s">
        <v>19</v>
      </c>
      <c r="C16" s="22">
        <f>IF($D$7=0,"",$D$7)</f>
        <v>46075</v>
      </c>
      <c r="D16" s="18"/>
      <c r="E16" s="26"/>
      <c r="F16" s="24"/>
      <c r="G16" s="25">
        <f t="shared" si="1"/>
        <v>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3.25" customHeight="1">
      <c r="A17" s="15"/>
      <c r="B17" s="15"/>
      <c r="C17" s="15"/>
      <c r="D17" s="27" t="s">
        <v>20</v>
      </c>
      <c r="E17" s="25">
        <f t="shared" ref="E17:F17" si="2">SUM(E10:E16)</f>
        <v>40</v>
      </c>
      <c r="F17" s="25">
        <f t="shared" si="2"/>
        <v>0</v>
      </c>
      <c r="G17" s="25">
        <f t="shared" si="1"/>
        <v>40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 t="s">
        <v>3</v>
      </c>
      <c r="C21" s="1"/>
      <c r="D21" s="1"/>
      <c r="E21" s="1"/>
      <c r="F21" s="28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 t="s">
        <v>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F2"/>
    <mergeCell ref="B3:E3"/>
    <mergeCell ref="B4:C4"/>
    <mergeCell ref="D4:F4"/>
    <mergeCell ref="B5:C5"/>
    <mergeCell ref="D5:E5"/>
    <mergeCell ref="D6:E6"/>
    <mergeCell ref="C15:D15"/>
    <mergeCell ref="C16:D16"/>
    <mergeCell ref="B6:C6"/>
    <mergeCell ref="B9:D9"/>
    <mergeCell ref="C10:D10"/>
    <mergeCell ref="C11:D11"/>
    <mergeCell ref="C12:D12"/>
    <mergeCell ref="C13:D13"/>
    <mergeCell ref="C14:D1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25F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75"/>
    <col customWidth="1" min="3" max="3" width="4.63"/>
    <col customWidth="1" min="4" max="4" width="15.13"/>
    <col customWidth="1" min="5" max="7" width="14.63"/>
    <col customWidth="1" min="8" max="26" width="8.0"/>
  </cols>
  <sheetData>
    <row r="1" ht="36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 t="s">
        <v>0</v>
      </c>
      <c r="C2" s="4"/>
      <c r="D2" s="4"/>
      <c r="E2" s="4"/>
      <c r="F2" s="5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7" t="s">
        <v>1</v>
      </c>
      <c r="C3" s="4"/>
      <c r="D3" s="4"/>
      <c r="E3" s="5"/>
      <c r="F3" s="8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9" t="s">
        <v>2</v>
      </c>
      <c r="C4" s="5"/>
      <c r="D4" s="10" t="s">
        <v>3</v>
      </c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1" t="s">
        <v>4</v>
      </c>
      <c r="D5" s="10" t="s">
        <v>5</v>
      </c>
      <c r="F5" s="10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6</v>
      </c>
      <c r="D6" s="11" t="s">
        <v>7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2" t="s">
        <v>8</v>
      </c>
      <c r="C7" s="12"/>
      <c r="D7" s="13">
        <v>46082.0</v>
      </c>
      <c r="E7" s="14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5"/>
      <c r="B9" s="16" t="s">
        <v>9</v>
      </c>
      <c r="C9" s="17"/>
      <c r="D9" s="18"/>
      <c r="E9" s="19" t="s">
        <v>10</v>
      </c>
      <c r="F9" s="19" t="s">
        <v>11</v>
      </c>
      <c r="G9" s="20" t="s">
        <v>12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3.25" customHeight="1">
      <c r="A10" s="15"/>
      <c r="B10" s="21" t="s">
        <v>13</v>
      </c>
      <c r="C10" s="22">
        <f>IF($D$7=0,"",$D$7-6)</f>
        <v>46076</v>
      </c>
      <c r="D10" s="18"/>
      <c r="E10" s="23">
        <v>8.0</v>
      </c>
      <c r="F10" s="24"/>
      <c r="G10" s="25">
        <f t="shared" ref="G10:G17" si="1">SUM(E10:F10)</f>
        <v>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3.25" customHeight="1">
      <c r="A11" s="15"/>
      <c r="B11" s="21" t="s">
        <v>14</v>
      </c>
      <c r="C11" s="22">
        <f>IF($D$7=0,"",$D$7-5)</f>
        <v>46077</v>
      </c>
      <c r="D11" s="18"/>
      <c r="E11" s="23">
        <v>8.0</v>
      </c>
      <c r="F11" s="24"/>
      <c r="G11" s="25">
        <f t="shared" si="1"/>
        <v>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3.25" customHeight="1">
      <c r="A12" s="15"/>
      <c r="B12" s="21" t="s">
        <v>15</v>
      </c>
      <c r="C12" s="22">
        <f>IF($D$7=0,"",$D$7-4)</f>
        <v>46078</v>
      </c>
      <c r="D12" s="18"/>
      <c r="E12" s="23">
        <v>8.0</v>
      </c>
      <c r="F12" s="24"/>
      <c r="G12" s="25">
        <f t="shared" si="1"/>
        <v>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3.25" customHeight="1">
      <c r="A13" s="15"/>
      <c r="B13" s="21" t="s">
        <v>16</v>
      </c>
      <c r="C13" s="22">
        <f>IF($D$7=0,"",$D$7-3)</f>
        <v>46079</v>
      </c>
      <c r="D13" s="18"/>
      <c r="E13" s="23">
        <v>8.0</v>
      </c>
      <c r="F13" s="24"/>
      <c r="G13" s="25">
        <f t="shared" si="1"/>
        <v>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3.25" customHeight="1">
      <c r="A14" s="15"/>
      <c r="B14" s="21" t="s">
        <v>17</v>
      </c>
      <c r="C14" s="22">
        <f>IF($D$7=0,"",$D$7-2)</f>
        <v>46080</v>
      </c>
      <c r="D14" s="18"/>
      <c r="E14" s="23">
        <v>8.0</v>
      </c>
      <c r="F14" s="24"/>
      <c r="G14" s="25">
        <f t="shared" si="1"/>
        <v>8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3.25" customHeight="1">
      <c r="A15" s="15"/>
      <c r="B15" s="21" t="s">
        <v>18</v>
      </c>
      <c r="C15" s="22">
        <f>IF($D$7=0,"",$D$7-1)</f>
        <v>46081</v>
      </c>
      <c r="D15" s="18"/>
      <c r="E15" s="26"/>
      <c r="F15" s="24"/>
      <c r="G15" s="25">
        <f t="shared" si="1"/>
        <v>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3.25" customHeight="1">
      <c r="A16" s="15"/>
      <c r="B16" s="21" t="s">
        <v>19</v>
      </c>
      <c r="C16" s="22">
        <f>IF($D$7=0,"",$D$7)</f>
        <v>46082</v>
      </c>
      <c r="D16" s="18"/>
      <c r="E16" s="26"/>
      <c r="F16" s="24"/>
      <c r="G16" s="25">
        <f t="shared" si="1"/>
        <v>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3.25" customHeight="1">
      <c r="A17" s="15"/>
      <c r="B17" s="15"/>
      <c r="C17" s="15"/>
      <c r="D17" s="27" t="s">
        <v>20</v>
      </c>
      <c r="E17" s="25">
        <f t="shared" ref="E17:F17" si="2">SUM(E10:E16)</f>
        <v>40</v>
      </c>
      <c r="F17" s="25">
        <f t="shared" si="2"/>
        <v>0</v>
      </c>
      <c r="G17" s="25">
        <f t="shared" si="1"/>
        <v>40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 t="s">
        <v>3</v>
      </c>
      <c r="C21" s="1"/>
      <c r="D21" s="1"/>
      <c r="E21" s="1"/>
      <c r="F21" s="28" t="s">
        <v>29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 t="s">
        <v>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F2"/>
    <mergeCell ref="B3:E3"/>
    <mergeCell ref="B4:C4"/>
    <mergeCell ref="D4:F4"/>
    <mergeCell ref="B5:C5"/>
    <mergeCell ref="D5:E5"/>
    <mergeCell ref="D6:E6"/>
    <mergeCell ref="C15:D15"/>
    <mergeCell ref="C16:D16"/>
    <mergeCell ref="B6:C6"/>
    <mergeCell ref="B9:D9"/>
    <mergeCell ref="C10:D10"/>
    <mergeCell ref="C11:D11"/>
    <mergeCell ref="C12:D12"/>
    <mergeCell ref="C13:D13"/>
    <mergeCell ref="C14:D1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25F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1.75"/>
    <col customWidth="1" min="3" max="3" width="4.63"/>
    <col customWidth="1" min="4" max="4" width="15.13"/>
    <col customWidth="1" min="5" max="7" width="14.63"/>
    <col customWidth="1" min="8" max="26" width="8.0"/>
  </cols>
  <sheetData>
    <row r="1" ht="36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 t="s">
        <v>0</v>
      </c>
      <c r="C2" s="4"/>
      <c r="D2" s="4"/>
      <c r="E2" s="4"/>
      <c r="F2" s="5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7" t="s">
        <v>1</v>
      </c>
      <c r="C3" s="4"/>
      <c r="D3" s="4"/>
      <c r="E3" s="5"/>
      <c r="F3" s="8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9" t="s">
        <v>2</v>
      </c>
      <c r="C4" s="5"/>
      <c r="D4" s="10" t="s">
        <v>3</v>
      </c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1" t="s">
        <v>4</v>
      </c>
      <c r="D5" s="10" t="s">
        <v>5</v>
      </c>
      <c r="F5" s="10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6</v>
      </c>
      <c r="D6" s="11" t="s">
        <v>7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2" t="s">
        <v>8</v>
      </c>
      <c r="C7" s="12"/>
      <c r="D7" s="13">
        <v>46054.0</v>
      </c>
      <c r="E7" s="14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5"/>
      <c r="B9" s="16" t="s">
        <v>9</v>
      </c>
      <c r="C9" s="17"/>
      <c r="D9" s="18"/>
      <c r="E9" s="19" t="s">
        <v>10</v>
      </c>
      <c r="F9" s="19" t="s">
        <v>11</v>
      </c>
      <c r="G9" s="20" t="s">
        <v>12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3.25" customHeight="1">
      <c r="A10" s="15"/>
      <c r="B10" s="21" t="s">
        <v>13</v>
      </c>
      <c r="C10" s="22">
        <f>IF($D$7=0,"",$D$7-6)</f>
        <v>46048</v>
      </c>
      <c r="D10" s="18"/>
      <c r="E10" s="23">
        <v>0.0</v>
      </c>
      <c r="F10" s="24"/>
      <c r="G10" s="25">
        <f t="shared" ref="G10:G17" si="1">SUM(E10:F10)</f>
        <v>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3.25" customHeight="1">
      <c r="A11" s="15"/>
      <c r="B11" s="21" t="s">
        <v>14</v>
      </c>
      <c r="C11" s="22">
        <f>IF($D$7=0,"",$D$7-5)</f>
        <v>46049</v>
      </c>
      <c r="D11" s="18"/>
      <c r="E11" s="23">
        <v>8.0</v>
      </c>
      <c r="F11" s="24"/>
      <c r="G11" s="25">
        <f t="shared" si="1"/>
        <v>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3.25" customHeight="1">
      <c r="A12" s="15"/>
      <c r="B12" s="21" t="s">
        <v>15</v>
      </c>
      <c r="C12" s="22">
        <f>IF($D$7=0,"",$D$7-4)</f>
        <v>46050</v>
      </c>
      <c r="D12" s="18"/>
      <c r="E12" s="23">
        <v>8.0</v>
      </c>
      <c r="F12" s="24"/>
      <c r="G12" s="25">
        <f t="shared" si="1"/>
        <v>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3.25" customHeight="1">
      <c r="A13" s="15"/>
      <c r="B13" s="21" t="s">
        <v>16</v>
      </c>
      <c r="C13" s="22">
        <f>IF($D$7=0,"",$D$7-3)</f>
        <v>46051</v>
      </c>
      <c r="D13" s="18"/>
      <c r="E13" s="23">
        <v>8.0</v>
      </c>
      <c r="F13" s="24"/>
      <c r="G13" s="25">
        <f t="shared" si="1"/>
        <v>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3.25" customHeight="1">
      <c r="A14" s="15"/>
      <c r="B14" s="21" t="s">
        <v>17</v>
      </c>
      <c r="C14" s="22">
        <f>IF($D$7=0,"",$D$7-2)</f>
        <v>46052</v>
      </c>
      <c r="D14" s="18"/>
      <c r="E14" s="23">
        <v>8.0</v>
      </c>
      <c r="F14" s="24"/>
      <c r="G14" s="25">
        <f t="shared" si="1"/>
        <v>8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3.25" customHeight="1">
      <c r="A15" s="15"/>
      <c r="B15" s="21" t="s">
        <v>18</v>
      </c>
      <c r="C15" s="22">
        <f>IF($D$7=0,"",$D$7-1)</f>
        <v>46053</v>
      </c>
      <c r="D15" s="18"/>
      <c r="E15" s="26"/>
      <c r="F15" s="24"/>
      <c r="G15" s="25">
        <f t="shared" si="1"/>
        <v>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3.25" customHeight="1">
      <c r="A16" s="15"/>
      <c r="B16" s="21" t="s">
        <v>19</v>
      </c>
      <c r="C16" s="22">
        <f>IF($D$7=0,"",$D$7)</f>
        <v>46054</v>
      </c>
      <c r="D16" s="18"/>
      <c r="E16" s="26"/>
      <c r="F16" s="24"/>
      <c r="G16" s="25">
        <f t="shared" si="1"/>
        <v>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3.25" customHeight="1">
      <c r="A17" s="15"/>
      <c r="B17" s="15"/>
      <c r="C17" s="15"/>
      <c r="D17" s="27" t="s">
        <v>20</v>
      </c>
      <c r="E17" s="25">
        <f t="shared" ref="E17:F17" si="2">SUM(E10:E16)</f>
        <v>32</v>
      </c>
      <c r="F17" s="25">
        <f t="shared" si="2"/>
        <v>0</v>
      </c>
      <c r="G17" s="25">
        <f t="shared" si="1"/>
        <v>32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 t="s">
        <v>3</v>
      </c>
      <c r="C21" s="1"/>
      <c r="D21" s="1"/>
      <c r="E21" s="1"/>
      <c r="F21" s="28" t="s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 t="s">
        <v>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F2"/>
    <mergeCell ref="B3:E3"/>
    <mergeCell ref="B4:C4"/>
    <mergeCell ref="D4:F4"/>
    <mergeCell ref="B5:C5"/>
    <mergeCell ref="D5:E5"/>
    <mergeCell ref="D6:E6"/>
    <mergeCell ref="C15:D15"/>
    <mergeCell ref="C16:D16"/>
    <mergeCell ref="B6:C6"/>
    <mergeCell ref="B9:D9"/>
    <mergeCell ref="C10:D10"/>
    <mergeCell ref="C11:D11"/>
    <mergeCell ref="C12:D12"/>
    <mergeCell ref="C13:D13"/>
    <mergeCell ref="C14:D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2000-08-25T01:59:39Z</dcterms:created>
  <dc:creator>Ramesh Kavuri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str>TC060888841033</vt:lpstr>
  </property>
  <property fmtid="{D5CDD505-2E9C-101B-9397-08002B2CF9AE}" pid="3" name="ICV">
    <vt:lpstr>76c7e9cf1b7149d49b0dbe74f2e7fc59</vt:lpstr>
  </property>
</Properties>
</file>